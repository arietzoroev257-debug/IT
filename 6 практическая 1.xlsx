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5680" windowHeight="116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J16" i="1"/>
  <c r="I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<sst xmlns="http://schemas.openxmlformats.org/spreadsheetml/2006/main" count="28" uniqueCount="28">
  <si>
    <t>№</t>
  </si>
  <si>
    <t>ФИО</t>
  </si>
  <si>
    <t>Балл 1</t>
  </si>
  <si>
    <t>Балл 2</t>
  </si>
  <si>
    <t>Балл 3</t>
  </si>
  <si>
    <t>Иванов И.И.</t>
  </si>
  <si>
    <t>Петров П. П.</t>
  </si>
  <si>
    <t>Синдрова С. С.</t>
  </si>
  <si>
    <t>Кузнецов К.К.</t>
  </si>
  <si>
    <t>Смирнов С.С.</t>
  </si>
  <si>
    <t>Волков В. В.</t>
  </si>
  <si>
    <t>Морозова М.М.</t>
  </si>
  <si>
    <t>Новиков Н.Н.</t>
  </si>
  <si>
    <t>Фудорова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</si>
  <si>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</si>
  <si>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</si>
  <si>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</si>
  <si>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</si>
  <si>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</si>
  <si>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</si>
  <si>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</si>
  <si>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медиана</t>
  </si>
  <si>
    <t>мода</t>
  </si>
  <si>
    <t>минимум</t>
  </si>
  <si>
    <t>максимум</t>
  </si>
  <si>
    <t xml:space="preserve">оценка </t>
  </si>
  <si>
    <t>средний балл</t>
  </si>
  <si>
    <t xml:space="preserve">Ранг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</si>
</sst>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C1" workbookViewId="0">
      <selection activeCell="M2" sqref="M2:M16"/>
    </sheetView>
  </sheetViews>
  <sheetFormatPr defaultRowHeight="14.5" x14ac:dyDescent="0.35"/>
  <cols>
    <col min="2" max="4" width="17.453125" customWidth="1"/>
    <col min="5" max="5" width="17.36328125" customWidth="1"/>
    <col min="9" max="9" width="17.08984375" customWidth="1"/>
    <col min="10" max="10" width="17.26953125" customWidth="1"/>
    <col min="11" max="11" width="17.7265625" customWidth="1"/>
    <col min="12" max="12" width="17.54296875" customWidth="1"/>
    <col min="13" max="13" width="17.36328125" customWidth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35">
      <c r="A2">
        <v>1</v>
      </c>
      <c r="B2" s="3" t="s">
        <v>5</v>
      </c>
      <c r="C2" s="2">
        <v>85</v>
      </c>
      <c r="D2" s="2">
        <v>78</v>
      </c>
      <c r="E2" s="2">
        <v>92</v>
      </c>
      <c r="F2" s="2">
        <f>SUM(C2:E2)</f>
        <v>255</v>
      </c>
      <c r="G2" s="2">
        <f>MEDIAN(C2:E2)</f>
        <v>85</v>
      </c>
      <c r="I2" s="2">
        <f>MIN(C2:E2)</f>
        <v>78</v>
      </c>
      <c r="J2" s="2">
        <f>MAX(C2:E2)</f>
        <v>92</v>
      </c>
      <c r="K2">
        <f>IF(L2&gt;=80, 5, IF(L2&gt;=65, 4, IF(L2&gt;=50, 3, IF(49&gt;=2,2))))</f>
        <v>5</v>
      </c>
      <c r="L2" s="4">
        <f>AVERAGEA(C2:E2)</f>
        <v>85</v>
      </c>
      <c r="M2">
        <f>RANK(F2,F2:F16)</f>
        <v>6</v>
      </c>
    </row>
    <row r="3" spans="1:13" x14ac:dyDescent="0.35">
      <c r="A3">
        <v>2</v>
      </c>
      <c r="B3" s="3" t="s">
        <v>6</v>
      </c>
      <c r="C3" s="2">
        <v>72</v>
      </c>
      <c r="D3" s="2">
        <v>65</v>
      </c>
      <c r="E3" s="2">
        <v>80</v>
      </c>
      <c r="F3" s="2">
        <f t="shared" ref="F3:F16" si="0">SUM(C3:E3)</f>
        <v>217</v>
      </c>
      <c r="G3" s="2">
        <f t="shared" ref="G3:G16" si="1">MEDIAN(C3:E3)</f>
        <v>72</v>
      </c>
      <c r="I3" s="2">
        <f t="shared" ref="I3:I16" si="2">MIN(C3:E3)</f>
        <v>65</v>
      </c>
      <c r="J3" s="2">
        <f t="shared" ref="J3:J16" si="3">MAX(C3:E3)</f>
        <v>80</v>
      </c>
      <c r="K3">
        <f t="shared" ref="K3:K16" si="4">IF(L3&gt;=80, 5, IF(L3&gt;=65, 4, IF(L3&gt;=50, 3, IF(49&gt;=2,2))))</f>
        <v>4</v>
      </c>
      <c r="L3" s="4">
        <f t="shared" ref="L3:L16" si="5">AVERAGEA(C3:E3)</f>
        <v>72.333333333333329</v>
      </c>
      <c r="M3">
        <f t="shared" ref="M3:M16" si="6">RANK(F3,F3:F17)</f>
        <v>9</v>
      </c>
    </row>
    <row r="4" spans="1:13" x14ac:dyDescent="0.35">
      <c r="A4">
        <v>3</v>
      </c>
      <c r="B4" s="3" t="s">
        <v>7</v>
      </c>
      <c r="C4" s="2">
        <v>95</v>
      </c>
      <c r="D4" s="2">
        <v>88</v>
      </c>
      <c r="E4" s="2">
        <v>98</v>
      </c>
      <c r="F4" s="2">
        <f t="shared" si="0"/>
        <v>281</v>
      </c>
      <c r="G4" s="2">
        <f t="shared" si="1"/>
        <v>95</v>
      </c>
      <c r="I4" s="2">
        <f t="shared" si="2"/>
        <v>88</v>
      </c>
      <c r="J4" s="2">
        <f t="shared" si="3"/>
        <v>98</v>
      </c>
      <c r="K4">
        <f t="shared" si="4"/>
        <v>5</v>
      </c>
      <c r="L4" s="4">
        <f t="shared" si="5"/>
        <v>93.666666666666671</v>
      </c>
      <c r="M4">
        <f t="shared" si="6"/>
        <v>2</v>
      </c>
    </row>
    <row r="5" spans="1:13" x14ac:dyDescent="0.35">
      <c r="A5">
        <v>4</v>
      </c>
      <c r="B5" s="3" t="s">
        <v>8</v>
      </c>
      <c r="C5" s="2">
        <v>65</v>
      </c>
      <c r="D5" s="2">
        <v>55</v>
      </c>
      <c r="E5" s="2">
        <v>70</v>
      </c>
      <c r="F5" s="2">
        <f t="shared" si="0"/>
        <v>190</v>
      </c>
      <c r="G5" s="2">
        <f t="shared" si="1"/>
        <v>65</v>
      </c>
      <c r="I5" s="2">
        <f t="shared" si="2"/>
        <v>55</v>
      </c>
      <c r="J5" s="2">
        <f t="shared" si="3"/>
        <v>70</v>
      </c>
      <c r="K5">
        <f t="shared" si="4"/>
        <v>3</v>
      </c>
      <c r="L5" s="4">
        <f t="shared" si="5"/>
        <v>63.333333333333336</v>
      </c>
      <c r="M5">
        <f t="shared" si="6"/>
        <v>10</v>
      </c>
    </row>
    <row r="6" spans="1:13" x14ac:dyDescent="0.35">
      <c r="A6">
        <v>5</v>
      </c>
      <c r="B6" s="3" t="s">
        <v>9</v>
      </c>
      <c r="C6" s="2">
        <v>78</v>
      </c>
      <c r="D6" s="2">
        <v>82</v>
      </c>
      <c r="E6" s="2">
        <v>85</v>
      </c>
      <c r="F6" s="2">
        <f t="shared" si="0"/>
        <v>245</v>
      </c>
      <c r="G6" s="2">
        <f t="shared" si="1"/>
        <v>82</v>
      </c>
      <c r="I6" s="2">
        <f t="shared" si="2"/>
        <v>78</v>
      </c>
      <c r="J6" s="2">
        <f t="shared" si="3"/>
        <v>85</v>
      </c>
      <c r="K6">
        <f t="shared" si="4"/>
        <v>5</v>
      </c>
      <c r="L6" s="4">
        <f t="shared" si="5"/>
        <v>81.666666666666671</v>
      </c>
      <c r="M6">
        <f t="shared" si="6"/>
        <v>5</v>
      </c>
    </row>
    <row r="7" spans="1:13" x14ac:dyDescent="0.35">
      <c r="A7">
        <v>6</v>
      </c>
      <c r="B7" s="3" t="s">
        <v>10</v>
      </c>
      <c r="C7" s="2">
        <v>88</v>
      </c>
      <c r="D7" s="2">
        <v>90</v>
      </c>
      <c r="E7" s="2">
        <v>95</v>
      </c>
      <c r="F7" s="2">
        <f t="shared" si="0"/>
        <v>273</v>
      </c>
      <c r="G7" s="2">
        <f t="shared" si="1"/>
        <v>90</v>
      </c>
      <c r="I7" s="2">
        <f t="shared" si="2"/>
        <v>88</v>
      </c>
      <c r="J7" s="2">
        <f t="shared" si="3"/>
        <v>95</v>
      </c>
      <c r="K7">
        <f t="shared" si="4"/>
        <v>5</v>
      </c>
      <c r="L7" s="4">
        <f t="shared" si="5"/>
        <v>91</v>
      </c>
      <c r="M7">
        <f t="shared" si="6"/>
        <v>3</v>
      </c>
    </row>
    <row r="8" spans="1:13" x14ac:dyDescent="0.35">
      <c r="A8">
        <v>7</v>
      </c>
      <c r="B8" s="3" t="s">
        <v>11</v>
      </c>
      <c r="C8" s="2">
        <v>65</v>
      </c>
      <c r="D8" s="2">
        <v>70</v>
      </c>
      <c r="E8" s="2">
        <v>68</v>
      </c>
      <c r="F8" s="2">
        <f t="shared" si="0"/>
        <v>203</v>
      </c>
      <c r="G8" s="2">
        <f t="shared" si="1"/>
        <v>68</v>
      </c>
      <c r="I8" s="2">
        <f t="shared" si="2"/>
        <v>65</v>
      </c>
      <c r="J8" s="2">
        <f t="shared" si="3"/>
        <v>70</v>
      </c>
      <c r="K8">
        <f t="shared" si="4"/>
        <v>4</v>
      </c>
      <c r="L8" s="4">
        <f t="shared" si="5"/>
        <v>67.666666666666671</v>
      </c>
      <c r="M8">
        <f t="shared" si="6"/>
        <v>7</v>
      </c>
    </row>
    <row r="9" spans="1:13" x14ac:dyDescent="0.35">
      <c r="A9">
        <v>8</v>
      </c>
      <c r="B9" s="3" t="s">
        <v>12</v>
      </c>
      <c r="C9" s="2">
        <v>92</v>
      </c>
      <c r="D9" s="2">
        <v>85</v>
      </c>
      <c r="E9" s="2">
        <v>88</v>
      </c>
      <c r="F9" s="2">
        <f t="shared" si="0"/>
        <v>265</v>
      </c>
      <c r="G9" s="2">
        <f t="shared" si="1"/>
        <v>88</v>
      </c>
      <c r="I9" s="2">
        <f t="shared" si="2"/>
        <v>85</v>
      </c>
      <c r="J9" s="2">
        <f t="shared" si="3"/>
        <v>92</v>
      </c>
      <c r="K9">
        <f t="shared" si="4"/>
        <v>5</v>
      </c>
      <c r="L9" s="4">
        <f t="shared" si="5"/>
        <v>88.333333333333329</v>
      </c>
      <c r="M9">
        <f t="shared" si="6"/>
        <v>3</v>
      </c>
    </row>
    <row r="10" spans="1:13" x14ac:dyDescent="0.35">
      <c r="A10">
        <v>9</v>
      </c>
      <c r="B10" s="3" t="s">
        <v>13</v>
      </c>
      <c r="C10" s="2">
        <v>55</v>
      </c>
      <c r="D10" s="2">
        <v>60</v>
      </c>
      <c r="E10" s="2">
        <v>58</v>
      </c>
      <c r="F10" s="2">
        <f t="shared" si="0"/>
        <v>173</v>
      </c>
      <c r="G10" s="2">
        <f t="shared" si="1"/>
        <v>58</v>
      </c>
      <c r="I10" s="2">
        <f t="shared" si="2"/>
        <v>55</v>
      </c>
      <c r="J10" s="2">
        <f t="shared" si="3"/>
        <v>60</v>
      </c>
      <c r="K10">
        <f t="shared" si="4"/>
        <v>3</v>
      </c>
      <c r="L10" s="4">
        <f t="shared" si="5"/>
        <v>57.666666666666664</v>
      </c>
      <c r="M10">
        <f t="shared" si="6"/>
        <v>7</v>
      </c>
    </row>
    <row r="11" spans="1:13" x14ac:dyDescent="0.35">
      <c r="A11">
        <v>10</v>
      </c>
      <c r="B11" s="3" t="s">
        <v>14</v>
      </c>
      <c r="C11" s="2">
        <v>80</v>
      </c>
      <c r="D11" s="2">
        <v>75</v>
      </c>
      <c r="E11" s="2">
        <v>82</v>
      </c>
      <c r="F11" s="2">
        <f t="shared" si="0"/>
        <v>237</v>
      </c>
      <c r="G11" s="2">
        <f t="shared" si="1"/>
        <v>80</v>
      </c>
      <c r="I11" s="2">
        <f t="shared" si="2"/>
        <v>75</v>
      </c>
      <c r="J11" s="2">
        <f t="shared" si="3"/>
        <v>82</v>
      </c>
      <c r="K11">
        <f t="shared" si="4"/>
        <v>4</v>
      </c>
      <c r="L11" s="4">
        <f t="shared" si="5"/>
        <v>79</v>
      </c>
      <c r="M11">
        <f t="shared" si="6"/>
        <v>3</v>
      </c>
    </row>
    <row r="12" spans="1:13" x14ac:dyDescent="0.35">
      <c r="A12">
        <v>11</v>
      </c>
      <c r="B12" s="3" t="s">
        <v>15</v>
      </c>
      <c r="C12" s="2">
        <v>70</v>
      </c>
      <c r="D12" s="2">
        <v>68</v>
      </c>
      <c r="E12" s="2">
        <v>72</v>
      </c>
      <c r="F12" s="2">
        <f t="shared" si="0"/>
        <v>210</v>
      </c>
      <c r="G12" s="2">
        <f t="shared" si="1"/>
        <v>70</v>
      </c>
      <c r="I12" s="2">
        <f t="shared" si="2"/>
        <v>68</v>
      </c>
      <c r="J12" s="2">
        <f t="shared" si="3"/>
        <v>72</v>
      </c>
      <c r="K12">
        <f t="shared" si="4"/>
        <v>4</v>
      </c>
      <c r="L12" s="4">
        <f t="shared" si="5"/>
        <v>70</v>
      </c>
      <c r="M12">
        <f t="shared" si="6"/>
        <v>4</v>
      </c>
    </row>
    <row r="13" spans="1:13" x14ac:dyDescent="0.35">
      <c r="A13">
        <v>12</v>
      </c>
      <c r="B13" s="3" t="s">
        <v>16</v>
      </c>
      <c r="C13" s="2">
        <v>90</v>
      </c>
      <c r="D13" s="2">
        <v>92</v>
      </c>
      <c r="E13" s="2">
        <v>94</v>
      </c>
      <c r="F13" s="2">
        <f t="shared" si="0"/>
        <v>276</v>
      </c>
      <c r="G13" s="2">
        <f t="shared" si="1"/>
        <v>92</v>
      </c>
      <c r="I13" s="2">
        <f t="shared" si="2"/>
        <v>90</v>
      </c>
      <c r="J13" s="2">
        <f t="shared" si="3"/>
        <v>94</v>
      </c>
      <c r="K13">
        <f t="shared" si="4"/>
        <v>5</v>
      </c>
      <c r="L13" s="4">
        <f t="shared" si="5"/>
        <v>92</v>
      </c>
      <c r="M13">
        <f t="shared" si="6"/>
        <v>2</v>
      </c>
    </row>
    <row r="14" spans="1:13" x14ac:dyDescent="0.35">
      <c r="A14">
        <v>13</v>
      </c>
      <c r="B14" s="3" t="s">
        <v>17</v>
      </c>
      <c r="C14" s="2">
        <v>75</v>
      </c>
      <c r="D14" s="2">
        <v>78</v>
      </c>
      <c r="E14" s="2">
        <v>80</v>
      </c>
      <c r="F14" s="2">
        <f t="shared" si="0"/>
        <v>233</v>
      </c>
      <c r="G14" s="2">
        <f t="shared" si="1"/>
        <v>78</v>
      </c>
      <c r="I14" s="2">
        <f t="shared" si="2"/>
        <v>75</v>
      </c>
      <c r="J14" s="2">
        <f t="shared" si="3"/>
        <v>80</v>
      </c>
      <c r="K14">
        <f t="shared" si="4"/>
        <v>4</v>
      </c>
      <c r="L14" s="4">
        <f t="shared" si="5"/>
        <v>77.666666666666671</v>
      </c>
      <c r="M14">
        <f t="shared" si="6"/>
        <v>2</v>
      </c>
    </row>
    <row r="15" spans="1:13" x14ac:dyDescent="0.35">
      <c r="A15">
        <v>14</v>
      </c>
      <c r="B15" s="3" t="s">
        <v>18</v>
      </c>
      <c r="C15" s="2">
        <v>62</v>
      </c>
      <c r="D15" s="2">
        <v>58</v>
      </c>
      <c r="E15" s="2">
        <v>65</v>
      </c>
      <c r="F15" s="2">
        <f t="shared" si="0"/>
        <v>185</v>
      </c>
      <c r="G15" s="2">
        <f t="shared" si="1"/>
        <v>62</v>
      </c>
      <c r="I15" s="2">
        <f t="shared" si="2"/>
        <v>58</v>
      </c>
      <c r="J15" s="2">
        <f t="shared" si="3"/>
        <v>65</v>
      </c>
      <c r="K15">
        <f t="shared" si="4"/>
        <v>3</v>
      </c>
      <c r="L15" s="4">
        <f t="shared" si="5"/>
        <v>61.666666666666664</v>
      </c>
      <c r="M15">
        <f t="shared" si="6"/>
        <v>2</v>
      </c>
    </row>
    <row r="16" spans="1:13" x14ac:dyDescent="0.35">
      <c r="A16">
        <v>15</v>
      </c>
      <c r="B16" s="3" t="s">
        <v>19</v>
      </c>
      <c r="C16" s="2">
        <v>98</v>
      </c>
      <c r="D16" s="2">
        <v>95</v>
      </c>
      <c r="E16" s="2">
        <v>100</v>
      </c>
      <c r="F16" s="2">
        <f t="shared" si="0"/>
        <v>293</v>
      </c>
      <c r="G16" s="2">
        <f t="shared" si="1"/>
        <v>98</v>
      </c>
      <c r="I16" s="2">
        <f t="shared" si="2"/>
        <v>95</v>
      </c>
      <c r="J16" s="2">
        <f t="shared" si="3"/>
        <v>100</v>
      </c>
      <c r="K16">
        <f t="shared" si="4"/>
        <v>5</v>
      </c>
      <c r="L16" s="4">
        <f t="shared" si="5"/>
        <v>97.666666666666671</v>
      </c>
      <c r="M16">
        <f t="shared" si="6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2026-10-13T10:24:01Z</dcterms:created>
  <dcterms:modified xsi:type="dcterms:W3CDTF">2026-10-13T11:40:23Z</dcterms:modified>
</cp:coreProperties>
</file>